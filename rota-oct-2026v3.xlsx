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- Jun 2026" sheetId="1" r:id="rId5"/>
    <sheet state="visible" name="Jul - Sep 2026" sheetId="2" r:id="rId6"/>
    <sheet state="visible" name="Oct - Dec 2026" sheetId="3" r:id="rId7"/>
  </sheets>
  <definedNames/>
  <calcPr/>
</workbook>
</file>

<file path=xl/sharedStrings.xml><?xml version="1.0" encoding="utf-8"?>
<sst xmlns="http://schemas.openxmlformats.org/spreadsheetml/2006/main" count="867" uniqueCount="79">
  <si>
    <t>York Gliding Centre Rota</t>
  </si>
  <si>
    <t>Day</t>
  </si>
  <si>
    <t>Date</t>
  </si>
  <si>
    <t>Instructor</t>
  </si>
  <si>
    <t>Lead Instructor</t>
  </si>
  <si>
    <t>Tug Pilot</t>
  </si>
  <si>
    <t>BI/IFP</t>
  </si>
  <si>
    <t>LPS</t>
  </si>
  <si>
    <t>Duty Pilot</t>
  </si>
  <si>
    <t>Wednesday</t>
  </si>
  <si>
    <t>C STURDY</t>
  </si>
  <si>
    <t>—</t>
  </si>
  <si>
    <t>R KALIN</t>
  </si>
  <si>
    <t>J FELAKOWSKI</t>
  </si>
  <si>
    <t>A HANKIN</t>
  </si>
  <si>
    <t>R DONNELLY</t>
  </si>
  <si>
    <t>Saturday</t>
  </si>
  <si>
    <t>M OAKEY</t>
  </si>
  <si>
    <t>K PROCTOR</t>
  </si>
  <si>
    <t>R WADDINGTON</t>
  </si>
  <si>
    <t>M LENCH</t>
  </si>
  <si>
    <t>J DAY</t>
  </si>
  <si>
    <t>Sunday</t>
  </si>
  <si>
    <t>P NAYERI</t>
  </si>
  <si>
    <t>D JOHNSTON</t>
  </si>
  <si>
    <t>M BLADES</t>
  </si>
  <si>
    <t>P ARTHUR</t>
  </si>
  <si>
    <t>S CAREY</t>
  </si>
  <si>
    <t>A MARVIN</t>
  </si>
  <si>
    <t>R NUZA</t>
  </si>
  <si>
    <t>n/a</t>
  </si>
  <si>
    <t>R ROWNTREE</t>
  </si>
  <si>
    <t>A CARDEN</t>
  </si>
  <si>
    <t>D PYE</t>
  </si>
  <si>
    <t>M BOND</t>
  </si>
  <si>
    <t>R STEMBROWICZ</t>
  </si>
  <si>
    <t>G DUNN</t>
  </si>
  <si>
    <t>G ALEXANDER</t>
  </si>
  <si>
    <t>T PAVIS</t>
  </si>
  <si>
    <t>R WALSH</t>
  </si>
  <si>
    <t>T CHEN</t>
  </si>
  <si>
    <t>K MALONE</t>
  </si>
  <si>
    <t>J KARRAN</t>
  </si>
  <si>
    <t>P HUBER</t>
  </si>
  <si>
    <t>R CARTER</t>
  </si>
  <si>
    <t>P TOUGH</t>
  </si>
  <si>
    <t>H MCDERMOTT-ROW</t>
  </si>
  <si>
    <t>C THRUSH</t>
  </si>
  <si>
    <t>J EMSLEY</t>
  </si>
  <si>
    <t>D BRADBROOK</t>
  </si>
  <si>
    <t>A PEACOCK</t>
  </si>
  <si>
    <t>R HAMBLY</t>
  </si>
  <si>
    <t>M PERRIER</t>
  </si>
  <si>
    <t>J MASHEDER</t>
  </si>
  <si>
    <t>R BECK</t>
  </si>
  <si>
    <t>A SPRAY</t>
  </si>
  <si>
    <t>E CAREY</t>
  </si>
  <si>
    <t>York Gliding Centre Rota Jul-Sep 2026 v1.3</t>
  </si>
  <si>
    <t>D HAWKINS</t>
  </si>
  <si>
    <t>K BATTY</t>
  </si>
  <si>
    <t>A STOCKS</t>
  </si>
  <si>
    <t>R BAMFORD</t>
  </si>
  <si>
    <t>S HAWKIN</t>
  </si>
  <si>
    <t>R HARDCASTLE</t>
  </si>
  <si>
    <t>A FREESTONE</t>
  </si>
  <si>
    <t>C LEPARD</t>
  </si>
  <si>
    <t>A HOLLINGS</t>
  </si>
  <si>
    <t>H SOUTHWORTH</t>
  </si>
  <si>
    <t>B DOUGLAS</t>
  </si>
  <si>
    <t>BI REQUIRED</t>
  </si>
  <si>
    <t>tba</t>
  </si>
  <si>
    <t>C BALL</t>
  </si>
  <si>
    <t>C WHITE</t>
  </si>
  <si>
    <t>Enterprise</t>
  </si>
  <si>
    <t>tbd</t>
  </si>
  <si>
    <t>M DOWLING</t>
  </si>
  <si>
    <t>E ROBINSON</t>
  </si>
  <si>
    <t>J ATKIN</t>
  </si>
  <si>
    <t>P TOMLINSON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</si>
</sst>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d mmm yyyy"/>
    <numFmt numFmtId="166" formatCode="dd mmmm yyyy"/>
    <numFmt numFmtId="167" formatCode="d mmmm yyyy"/>
  </numFmts>
  <fonts count="10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i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  <xf borderId="6" fillId="0" fontId="8" numFmtId="0" xfId="0" applyAlignment="1" applyBorder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65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9" numFmtId="0" xfId="0" applyFont="1"/>
    <xf borderId="7" fillId="0" fontId="8" numFmtId="0" xfId="0" applyAlignment="1" applyBorder="1" applyFont="1">
      <alignment readingOrder="0"/>
    </xf>
    <xf borderId="8" fillId="0" fontId="8" numFmtId="164" xfId="0" applyAlignment="1" applyBorder="1" applyFont="1" applyNumberFormat="1">
      <alignment horizontal="center" readingOrder="0"/>
    </xf>
    <xf borderId="8" fillId="0" fontId="8" numFmtId="0" xfId="0" applyAlignment="1" applyBorder="1" applyFont="1">
      <alignment readingOrder="0"/>
    </xf>
    <xf borderId="9" fillId="0" fontId="8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Apr - Jun 2026-style">
      <tableStyleElement dxfId="1" type="headerRow"/>
      <tableStyleElement dxfId="2" type="firstRowStripe"/>
      <tableStyleElement dxfId="3" type="secondRowStripe"/>
    </tableStyle>
    <tableStyle count="3" pivot="0" name="Jul - Sep 2026-style">
      <tableStyleElement dxfId="1" type="headerRow"/>
      <tableStyleElement dxfId="2" type="firstRowStripe"/>
      <tableStyleElement dxfId="3" type="secondRowStripe"/>
    </tableStyle>
    <tableStyle count="3" pivot="0" name="Oct - Dec 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42" displayName="Table_1" name="Table_1" id="1">
  <tableColumns count="8">
    <tableColumn name="Day" id="1"/>
    <tableColumn name="Date" id="2"/>
    <tableColumn name="Instructor" id="3"/>
    <tableColumn name="Lead Instructor" id="4"/>
    <tableColumn name="Tug Pilot" id="5"/>
    <tableColumn name="BI/IFP" id="6"/>
    <tableColumn name="LPS" id="7"/>
    <tableColumn name="Duty Pilot" id="8"/>
  </tableColumns>
  <tableStyleInfo name="Apr - Jun 2026-style" showColumnStripes="0" showFirstColumn="1" showLastColumn="1" showRowStripes="1"/>
</table>
</file>

<file path=xl/tables/table2.xml><?xml version="1.0" encoding="utf-8"?>
<table xmlns="http://schemas.openxmlformats.org/spreadsheetml/2006/main" ref="A2:H42" displayName="Table_2" name="Table_2" id="2">
  <tableColumns count="8">
    <tableColumn name="Day" id="1"/>
    <tableColumn name="Date" id="2"/>
    <tableColumn name="Instructor" id="3"/>
    <tableColumn name="Lead Instructor" id="4"/>
    <tableColumn name="Tug Pilot" id="5"/>
    <tableColumn name="BI/IFP" id="6"/>
    <tableColumn name="LPS" id="7"/>
    <tableColumn name="Duty Pilot" id="8"/>
  </tableColumns>
  <tableStyleInfo name="Jul - Sep 2026-style" showColumnStripes="0" showFirstColumn="1" showLastColumn="1" showRowStripes="1"/>
</table>
</file>

<file path=xl/tables/table3.xml><?xml version="1.0" encoding="utf-8"?>
<table xmlns="http://schemas.openxmlformats.org/spreadsheetml/2006/main" ref="A1:H42" displayName="Table_3" name="Table_3" id="3">
  <tableColumns count="8">
    <tableColumn name="Day" id="1"/>
    <tableColumn name="Date" id="2"/>
    <tableColumn name="Instructor" id="3"/>
    <tableColumn name="Lead Instructor" id="4"/>
    <tableColumn name="Tug Pilot" id="5"/>
    <tableColumn name="BI/IFP" id="6"/>
    <tableColumn name="LPS" id="7"/>
    <tableColumn name="Duty Pilot" id="8"/>
  </tableColumns>
  <tableStyleInfo name="Oct - Dec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25"/>
    <col customWidth="1" min="4" max="4" width="15.5"/>
    <col customWidth="1" min="5" max="5" width="21.38"/>
    <col customWidth="1" min="6" max="6" width="18.75"/>
    <col customWidth="1" min="7" max="7" width="20.13"/>
    <col customWidth="1" min="8" max="8" width="14.25"/>
  </cols>
  <sheetData>
    <row r="1" ht="22.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 t="s">
        <v>9</v>
      </c>
      <c r="B3" s="6">
        <v>46113.0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 t="s">
        <v>16</v>
      </c>
      <c r="B4" s="6">
        <v>46116.0</v>
      </c>
      <c r="C4" s="5" t="s">
        <v>17</v>
      </c>
      <c r="D4" s="5" t="s">
        <v>11</v>
      </c>
      <c r="E4" s="5" t="s">
        <v>18</v>
      </c>
      <c r="F4" s="5" t="s">
        <v>19</v>
      </c>
      <c r="G4" s="5" t="s">
        <v>20</v>
      </c>
      <c r="H4" s="5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 t="s">
        <v>22</v>
      </c>
      <c r="B5" s="6">
        <v>46117.0</v>
      </c>
      <c r="C5" s="5" t="s">
        <v>23</v>
      </c>
      <c r="D5" s="5" t="s">
        <v>11</v>
      </c>
      <c r="E5" s="5" t="s">
        <v>24</v>
      </c>
      <c r="F5" s="5" t="s">
        <v>25</v>
      </c>
      <c r="G5" s="5" t="s">
        <v>26</v>
      </c>
      <c r="H5" s="5" t="s">
        <v>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9</v>
      </c>
      <c r="B6" s="6">
        <v>46120.0</v>
      </c>
      <c r="C6" s="5" t="s">
        <v>28</v>
      </c>
      <c r="D6" s="5" t="s">
        <v>11</v>
      </c>
      <c r="E6" s="5" t="s">
        <v>29</v>
      </c>
      <c r="F6" s="5" t="s">
        <v>30</v>
      </c>
      <c r="G6" s="5" t="s">
        <v>31</v>
      </c>
      <c r="H6" s="5" t="s">
        <v>32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 t="s">
        <v>16</v>
      </c>
      <c r="B7" s="7">
        <v>46123.0</v>
      </c>
      <c r="C7" s="5" t="s">
        <v>33</v>
      </c>
      <c r="D7" s="5" t="s">
        <v>11</v>
      </c>
      <c r="E7" s="5" t="s">
        <v>34</v>
      </c>
      <c r="F7" s="5" t="s">
        <v>30</v>
      </c>
      <c r="G7" s="5" t="s">
        <v>35</v>
      </c>
      <c r="H7" s="5" t="s">
        <v>36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5" t="s">
        <v>22</v>
      </c>
      <c r="B8" s="7">
        <v>46124.0</v>
      </c>
      <c r="C8" s="5" t="s">
        <v>37</v>
      </c>
      <c r="D8" s="5" t="s">
        <v>11</v>
      </c>
      <c r="E8" s="5" t="s">
        <v>38</v>
      </c>
      <c r="F8" s="5" t="s">
        <v>30</v>
      </c>
      <c r="G8" s="5" t="s">
        <v>39</v>
      </c>
      <c r="H8" s="5" t="s">
        <v>40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 t="s">
        <v>9</v>
      </c>
      <c r="B9" s="7">
        <v>46127.0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41</v>
      </c>
      <c r="H9" s="5" t="s">
        <v>15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16</v>
      </c>
      <c r="B10" s="7">
        <v>46130.0</v>
      </c>
      <c r="C10" s="5" t="s">
        <v>42</v>
      </c>
      <c r="D10" s="5" t="s">
        <v>11</v>
      </c>
      <c r="E10" s="5" t="s">
        <v>18</v>
      </c>
      <c r="F10" s="5" t="s">
        <v>38</v>
      </c>
      <c r="G10" s="5" t="s">
        <v>43</v>
      </c>
      <c r="H10" s="5" t="s">
        <v>44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 t="s">
        <v>22</v>
      </c>
      <c r="B11" s="7">
        <v>46131.0</v>
      </c>
      <c r="C11" s="5" t="s">
        <v>45</v>
      </c>
      <c r="D11" s="5" t="s">
        <v>11</v>
      </c>
      <c r="E11" s="5" t="s">
        <v>46</v>
      </c>
      <c r="F11" s="5" t="s">
        <v>19</v>
      </c>
      <c r="G11" s="5" t="s">
        <v>47</v>
      </c>
      <c r="H11" s="5" t="s">
        <v>48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9</v>
      </c>
      <c r="B12" s="7">
        <v>46134.0</v>
      </c>
      <c r="C12" s="5" t="s">
        <v>49</v>
      </c>
      <c r="D12" s="5" t="s">
        <v>11</v>
      </c>
      <c r="E12" s="5" t="s">
        <v>18</v>
      </c>
      <c r="F12" s="5" t="s">
        <v>30</v>
      </c>
      <c r="G12" s="5" t="s">
        <v>14</v>
      </c>
      <c r="H12" s="5" t="s">
        <v>32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 t="s">
        <v>16</v>
      </c>
      <c r="B13" s="7">
        <v>46137.0</v>
      </c>
      <c r="C13" s="5" t="s">
        <v>50</v>
      </c>
      <c r="D13" s="5" t="s">
        <v>33</v>
      </c>
      <c r="E13" s="5" t="s">
        <v>51</v>
      </c>
      <c r="F13" s="5" t="s">
        <v>30</v>
      </c>
      <c r="G13" s="5" t="s">
        <v>52</v>
      </c>
      <c r="H13" s="5" t="s">
        <v>53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5" t="s">
        <v>22</v>
      </c>
      <c r="B14" s="7">
        <v>46138.0</v>
      </c>
      <c r="C14" s="5" t="s">
        <v>23</v>
      </c>
      <c r="D14" s="5" t="s">
        <v>11</v>
      </c>
      <c r="E14" s="5" t="s">
        <v>54</v>
      </c>
      <c r="F14" s="5" t="s">
        <v>30</v>
      </c>
      <c r="G14" s="5" t="s">
        <v>55</v>
      </c>
      <c r="H14" s="5" t="s">
        <v>56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5" t="s">
        <v>9</v>
      </c>
      <c r="B15" s="7">
        <v>46141.0</v>
      </c>
      <c r="C15" s="5" t="s">
        <v>12</v>
      </c>
      <c r="D15" s="5" t="s">
        <v>11</v>
      </c>
      <c r="E15" s="5" t="s">
        <v>34</v>
      </c>
      <c r="F15" s="5" t="s">
        <v>13</v>
      </c>
      <c r="G15" s="5" t="s">
        <v>31</v>
      </c>
      <c r="H15" s="5" t="s">
        <v>21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5" t="s">
        <v>16</v>
      </c>
      <c r="B16" s="9">
        <v>46144.0</v>
      </c>
      <c r="C16" s="5" t="s">
        <v>42</v>
      </c>
      <c r="D16" s="5" t="s">
        <v>11</v>
      </c>
      <c r="E16" s="5" t="s">
        <v>38</v>
      </c>
      <c r="F16" s="5" t="s">
        <v>25</v>
      </c>
      <c r="G16" s="5" t="s">
        <v>26</v>
      </c>
      <c r="H16" s="5" t="s">
        <v>44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 t="s">
        <v>22</v>
      </c>
      <c r="B17" s="9">
        <v>46145.0</v>
      </c>
      <c r="C17" s="5" t="s">
        <v>37</v>
      </c>
      <c r="D17" s="5" t="s">
        <v>11</v>
      </c>
      <c r="E17" s="5" t="s">
        <v>24</v>
      </c>
      <c r="F17" s="5" t="s">
        <v>19</v>
      </c>
      <c r="G17" s="5" t="s">
        <v>58</v>
      </c>
      <c r="H17" s="5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 t="s">
        <v>9</v>
      </c>
      <c r="B18" s="9">
        <v>46148.0</v>
      </c>
      <c r="C18" s="5" t="s">
        <v>28</v>
      </c>
      <c r="D18" s="5" t="s">
        <v>11</v>
      </c>
      <c r="E18" s="5" t="s">
        <v>18</v>
      </c>
      <c r="F18" s="5" t="s">
        <v>30</v>
      </c>
      <c r="G18" s="5" t="s">
        <v>14</v>
      </c>
      <c r="H18" s="5" t="s">
        <v>32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 t="s">
        <v>16</v>
      </c>
      <c r="B19" s="9">
        <v>46151.0</v>
      </c>
      <c r="C19" s="5" t="s">
        <v>17</v>
      </c>
      <c r="D19" s="5" t="s">
        <v>11</v>
      </c>
      <c r="E19" s="5" t="s">
        <v>59</v>
      </c>
      <c r="F19" s="5" t="s">
        <v>30</v>
      </c>
      <c r="G19" s="5" t="s">
        <v>47</v>
      </c>
      <c r="H19" s="5" t="s">
        <v>60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" t="s">
        <v>22</v>
      </c>
      <c r="B20" s="15">
        <v>46152.0</v>
      </c>
      <c r="C20" s="5" t="s">
        <v>23</v>
      </c>
      <c r="D20" s="5" t="s">
        <v>11</v>
      </c>
      <c r="E20" s="5" t="s">
        <v>51</v>
      </c>
      <c r="F20" s="5" t="s">
        <v>30</v>
      </c>
      <c r="G20" s="5" t="s">
        <v>62</v>
      </c>
      <c r="H20" s="5" t="s">
        <v>27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 t="s">
        <v>9</v>
      </c>
      <c r="B21" s="15">
        <v>46155.0</v>
      </c>
      <c r="C21" s="5" t="s">
        <v>49</v>
      </c>
      <c r="D21" s="5" t="s">
        <v>11</v>
      </c>
      <c r="E21" s="5" t="s">
        <v>29</v>
      </c>
      <c r="F21" s="5" t="s">
        <v>13</v>
      </c>
      <c r="G21" s="5" t="s">
        <v>31</v>
      </c>
      <c r="H21" s="5" t="s">
        <v>21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5" t="s">
        <v>16</v>
      </c>
      <c r="B22" s="15">
        <v>46158.0</v>
      </c>
      <c r="C22" s="5" t="s">
        <v>42</v>
      </c>
      <c r="D22" s="5" t="s">
        <v>11</v>
      </c>
      <c r="E22" s="5" t="s">
        <v>34</v>
      </c>
      <c r="F22" s="5" t="s">
        <v>38</v>
      </c>
      <c r="G22" s="5" t="s">
        <v>62</v>
      </c>
      <c r="H22" s="5" t="s">
        <v>65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 t="s">
        <v>22</v>
      </c>
      <c r="B23" s="15">
        <v>46159.0</v>
      </c>
      <c r="C23" s="5" t="s">
        <v>12</v>
      </c>
      <c r="D23" s="5" t="s">
        <v>50</v>
      </c>
      <c r="E23" s="5" t="s">
        <v>54</v>
      </c>
      <c r="F23" s="5" t="s">
        <v>19</v>
      </c>
      <c r="G23" s="5" t="s">
        <v>26</v>
      </c>
      <c r="H23" s="5" t="s">
        <v>56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5" t="s">
        <v>9</v>
      </c>
      <c r="B24" s="15">
        <v>46162.0</v>
      </c>
      <c r="C24" s="5" t="s">
        <v>49</v>
      </c>
      <c r="D24" s="5" t="s">
        <v>11</v>
      </c>
      <c r="E24" s="5" t="s">
        <v>24</v>
      </c>
      <c r="F24" s="5" t="s">
        <v>69</v>
      </c>
      <c r="G24" s="5" t="s">
        <v>41</v>
      </c>
      <c r="H24" s="5" t="s">
        <v>32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 t="s">
        <v>16</v>
      </c>
      <c r="B25" s="15">
        <v>46165.0</v>
      </c>
      <c r="C25" s="5" t="s">
        <v>33</v>
      </c>
      <c r="D25" s="5" t="s">
        <v>11</v>
      </c>
      <c r="E25" s="5" t="s">
        <v>18</v>
      </c>
      <c r="F25" s="5" t="s">
        <v>30</v>
      </c>
      <c r="G25" s="5" t="s">
        <v>47</v>
      </c>
      <c r="H25" s="5" t="s">
        <v>68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5" t="s">
        <v>22</v>
      </c>
      <c r="B26" s="15">
        <v>46166.0</v>
      </c>
      <c r="C26" s="5" t="s">
        <v>45</v>
      </c>
      <c r="D26" s="5" t="s">
        <v>11</v>
      </c>
      <c r="E26" s="5" t="s">
        <v>59</v>
      </c>
      <c r="F26" s="5" t="s">
        <v>30</v>
      </c>
      <c r="G26" s="5" t="s">
        <v>52</v>
      </c>
      <c r="H26" s="5" t="s">
        <v>71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 t="s">
        <v>9</v>
      </c>
      <c r="B27" s="15">
        <v>46169.0</v>
      </c>
      <c r="C27" s="5" t="s">
        <v>10</v>
      </c>
      <c r="D27" s="5" t="s">
        <v>11</v>
      </c>
      <c r="E27" s="5" t="s">
        <v>29</v>
      </c>
      <c r="F27" s="5" t="s">
        <v>13</v>
      </c>
      <c r="G27" s="5" t="s">
        <v>14</v>
      </c>
      <c r="H27" s="5" t="s">
        <v>15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5" t="s">
        <v>16</v>
      </c>
      <c r="B28" s="15">
        <v>46172.0</v>
      </c>
      <c r="C28" s="5" t="s">
        <v>17</v>
      </c>
      <c r="D28" s="5" t="s">
        <v>11</v>
      </c>
      <c r="E28" s="5" t="s">
        <v>34</v>
      </c>
      <c r="F28" s="5" t="s">
        <v>38</v>
      </c>
      <c r="G28" s="5" t="s">
        <v>62</v>
      </c>
      <c r="H28" s="5" t="s">
        <v>60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5" t="s">
        <v>22</v>
      </c>
      <c r="B29" s="15">
        <v>46173.0</v>
      </c>
      <c r="C29" s="5" t="s">
        <v>42</v>
      </c>
      <c r="D29" s="5" t="s">
        <v>11</v>
      </c>
      <c r="E29" s="5" t="s">
        <v>23</v>
      </c>
      <c r="F29" s="5" t="s">
        <v>25</v>
      </c>
      <c r="G29" s="5" t="s">
        <v>20</v>
      </c>
      <c r="H29" s="5" t="s">
        <v>27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5" t="s">
        <v>9</v>
      </c>
      <c r="B30" s="6">
        <v>46176.0</v>
      </c>
      <c r="C30" s="5" t="s">
        <v>49</v>
      </c>
      <c r="D30" s="5" t="s">
        <v>11</v>
      </c>
      <c r="E30" s="5" t="s">
        <v>12</v>
      </c>
      <c r="F30" s="5" t="s">
        <v>69</v>
      </c>
      <c r="G30" s="5" t="s">
        <v>41</v>
      </c>
      <c r="H30" s="5" t="s">
        <v>32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 t="s">
        <v>16</v>
      </c>
      <c r="B31" s="6">
        <v>46179.0</v>
      </c>
      <c r="C31" s="5" t="s">
        <v>33</v>
      </c>
      <c r="D31" s="5" t="s">
        <v>11</v>
      </c>
      <c r="E31" s="5" t="s">
        <v>18</v>
      </c>
      <c r="F31" s="5" t="s">
        <v>30</v>
      </c>
      <c r="G31" s="5" t="s">
        <v>39</v>
      </c>
      <c r="H31" s="5" t="s">
        <v>21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5" t="s">
        <v>22</v>
      </c>
      <c r="B32" s="6">
        <v>46180.0</v>
      </c>
      <c r="C32" s="5" t="s">
        <v>37</v>
      </c>
      <c r="D32" s="5" t="s">
        <v>11</v>
      </c>
      <c r="E32" s="5" t="s">
        <v>59</v>
      </c>
      <c r="F32" s="5" t="s">
        <v>30</v>
      </c>
      <c r="G32" s="5" t="s">
        <v>55</v>
      </c>
      <c r="H32" s="5" t="s">
        <v>26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5" t="s">
        <v>9</v>
      </c>
      <c r="B33" s="7">
        <v>46183.0</v>
      </c>
      <c r="C33" s="5" t="s">
        <v>10</v>
      </c>
      <c r="D33" s="5" t="s">
        <v>11</v>
      </c>
      <c r="E33" s="5" t="s">
        <v>29</v>
      </c>
      <c r="F33" s="5" t="s">
        <v>13</v>
      </c>
      <c r="G33" s="5" t="s">
        <v>14</v>
      </c>
      <c r="H33" s="5" t="s">
        <v>75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5" t="s">
        <v>16</v>
      </c>
      <c r="B34" s="7">
        <v>46186.0</v>
      </c>
      <c r="C34" s="5" t="s">
        <v>45</v>
      </c>
      <c r="D34" s="5" t="s">
        <v>11</v>
      </c>
      <c r="E34" s="5" t="s">
        <v>18</v>
      </c>
      <c r="F34" s="5" t="s">
        <v>38</v>
      </c>
      <c r="G34" s="5" t="s">
        <v>47</v>
      </c>
      <c r="H34" s="5" t="s">
        <v>72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5" t="s">
        <v>22</v>
      </c>
      <c r="B35" s="7">
        <v>46187.0</v>
      </c>
      <c r="C35" s="5" t="s">
        <v>23</v>
      </c>
      <c r="D35" s="5" t="s">
        <v>50</v>
      </c>
      <c r="E35" s="5" t="s">
        <v>34</v>
      </c>
      <c r="F35" s="5" t="s">
        <v>19</v>
      </c>
      <c r="G35" s="5" t="s">
        <v>35</v>
      </c>
      <c r="H35" s="5" t="s">
        <v>60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5" t="s">
        <v>9</v>
      </c>
      <c r="B36" s="7">
        <v>46190.0</v>
      </c>
      <c r="C36" s="5" t="s">
        <v>10</v>
      </c>
      <c r="D36" s="5" t="s">
        <v>11</v>
      </c>
      <c r="E36" s="5" t="s">
        <v>24</v>
      </c>
      <c r="F36" s="5" t="s">
        <v>30</v>
      </c>
      <c r="G36" s="5" t="s">
        <v>41</v>
      </c>
      <c r="H36" s="5" t="s">
        <v>32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5" t="s">
        <v>16</v>
      </c>
      <c r="B37" s="7">
        <v>46193.0</v>
      </c>
      <c r="C37" s="5" t="s">
        <v>33</v>
      </c>
      <c r="D37" s="5" t="s">
        <v>11</v>
      </c>
      <c r="E37" s="5" t="s">
        <v>54</v>
      </c>
      <c r="F37" s="5" t="s">
        <v>30</v>
      </c>
      <c r="G37" s="5" t="s">
        <v>58</v>
      </c>
      <c r="H37" s="5" t="s">
        <v>76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5" t="s">
        <v>22</v>
      </c>
      <c r="B38" s="7">
        <v>46194.0</v>
      </c>
      <c r="C38" s="5" t="s">
        <v>42</v>
      </c>
      <c r="D38" s="5" t="s">
        <v>11</v>
      </c>
      <c r="E38" s="5" t="s">
        <v>51</v>
      </c>
      <c r="F38" s="5" t="s">
        <v>30</v>
      </c>
      <c r="G38" s="5" t="s">
        <v>55</v>
      </c>
      <c r="H38" s="5" t="s">
        <v>21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5" t="s">
        <v>9</v>
      </c>
      <c r="B39" s="7">
        <v>46197.0</v>
      </c>
      <c r="C39" s="5" t="s">
        <v>10</v>
      </c>
      <c r="D39" s="5" t="s">
        <v>11</v>
      </c>
      <c r="E39" s="5" t="s">
        <v>24</v>
      </c>
      <c r="F39" s="5" t="s">
        <v>13</v>
      </c>
      <c r="G39" s="5" t="s">
        <v>67</v>
      </c>
      <c r="H39" s="5" t="s">
        <v>15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5" t="s">
        <v>16</v>
      </c>
      <c r="B40" s="7">
        <v>46200.0</v>
      </c>
      <c r="C40" s="5" t="s">
        <v>42</v>
      </c>
      <c r="D40" s="5" t="s">
        <v>11</v>
      </c>
      <c r="E40" s="5" t="s">
        <v>46</v>
      </c>
      <c r="F40" s="5" t="s">
        <v>38</v>
      </c>
      <c r="G40" s="5" t="s">
        <v>39</v>
      </c>
      <c r="H40" s="5" t="s">
        <v>53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5" t="s">
        <v>22</v>
      </c>
      <c r="B41" s="7">
        <v>46201.0</v>
      </c>
      <c r="C41" s="5" t="s">
        <v>23</v>
      </c>
      <c r="D41" s="5" t="s">
        <v>11</v>
      </c>
      <c r="E41" s="5" t="s">
        <v>34</v>
      </c>
      <c r="F41" s="5" t="s">
        <v>19</v>
      </c>
      <c r="G41" s="5" t="s">
        <v>20</v>
      </c>
      <c r="H41" s="5" t="s">
        <v>68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5" t="s">
        <v>9</v>
      </c>
      <c r="B42" s="6">
        <v>46204.0</v>
      </c>
      <c r="C42" s="5" t="s">
        <v>12</v>
      </c>
      <c r="D42" s="5" t="s">
        <v>11</v>
      </c>
      <c r="E42" s="5" t="s">
        <v>29</v>
      </c>
      <c r="F42" s="5" t="s">
        <v>30</v>
      </c>
      <c r="G42" s="5" t="s">
        <v>31</v>
      </c>
      <c r="H42" s="5" t="s">
        <v>75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H1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25"/>
    <col customWidth="1" min="4" max="4" width="15.5"/>
    <col customWidth="1" min="5" max="5" width="22.38"/>
    <col customWidth="1" min="6" max="6" width="18.75"/>
    <col customWidth="1" min="7" max="7" width="20.13"/>
    <col customWidth="1" min="8" max="8" width="15.75"/>
  </cols>
  <sheetData>
    <row r="1" ht="45.0" customHeight="1">
      <c r="A1" s="8" t="s">
        <v>57</v>
      </c>
      <c r="I1" s="2"/>
      <c r="J1" s="2"/>
      <c r="K1" s="2"/>
      <c r="L1" s="2"/>
      <c r="M1" s="2"/>
      <c r="N1" s="2"/>
      <c r="O1" s="2"/>
      <c r="P1" s="2"/>
      <c r="Q1" s="2"/>
      <c r="R1" s="2"/>
    </row>
    <row r="2" ht="22.5" customHeight="1">
      <c r="A2" s="10" t="s">
        <v>1</v>
      </c>
      <c r="B2" s="11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2"/>
      <c r="J2" s="12"/>
      <c r="K2" s="12"/>
      <c r="L2" s="12"/>
      <c r="M2" s="12"/>
      <c r="N2" s="12"/>
      <c r="O2" s="12"/>
      <c r="P2" s="12"/>
      <c r="Q2" s="12"/>
      <c r="R2" s="12"/>
    </row>
    <row r="3" ht="22.5" customHeight="1">
      <c r="A3" s="13" t="s">
        <v>16</v>
      </c>
      <c r="B3" s="14">
        <v>46207.0</v>
      </c>
      <c r="C3" s="13" t="s">
        <v>59</v>
      </c>
      <c r="D3" s="13" t="s">
        <v>11</v>
      </c>
      <c r="E3" s="13" t="s">
        <v>54</v>
      </c>
      <c r="F3" s="13" t="s">
        <v>38</v>
      </c>
      <c r="G3" s="13" t="s">
        <v>39</v>
      </c>
      <c r="H3" s="13" t="s">
        <v>53</v>
      </c>
      <c r="I3" s="12"/>
      <c r="J3" s="12"/>
      <c r="K3" s="12"/>
      <c r="L3" s="12"/>
      <c r="M3" s="12"/>
      <c r="N3" s="12"/>
      <c r="O3" s="12"/>
      <c r="P3" s="12"/>
      <c r="Q3" s="12"/>
      <c r="R3" s="12"/>
    </row>
    <row r="4" ht="22.5" customHeight="1">
      <c r="A4" s="13" t="s">
        <v>22</v>
      </c>
      <c r="B4" s="14">
        <v>46208.0</v>
      </c>
      <c r="C4" s="13" t="s">
        <v>42</v>
      </c>
      <c r="D4" s="13" t="s">
        <v>11</v>
      </c>
      <c r="E4" s="13" t="s">
        <v>34</v>
      </c>
      <c r="F4" s="13" t="s">
        <v>25</v>
      </c>
      <c r="G4" s="13" t="s">
        <v>52</v>
      </c>
      <c r="H4" s="13" t="s">
        <v>61</v>
      </c>
      <c r="I4" s="12"/>
      <c r="J4" s="12"/>
      <c r="K4" s="12"/>
      <c r="L4" s="12"/>
      <c r="M4" s="12"/>
      <c r="N4" s="12"/>
      <c r="O4" s="12"/>
      <c r="P4" s="12"/>
      <c r="Q4" s="12"/>
      <c r="R4" s="12"/>
    </row>
    <row r="5" ht="22.5" customHeight="1">
      <c r="A5" s="13" t="s">
        <v>9</v>
      </c>
      <c r="B5" s="14">
        <v>46211.0</v>
      </c>
      <c r="C5" s="13" t="s">
        <v>49</v>
      </c>
      <c r="D5" s="13" t="s">
        <v>11</v>
      </c>
      <c r="E5" s="13" t="s">
        <v>18</v>
      </c>
      <c r="F5" s="13" t="s">
        <v>33</v>
      </c>
      <c r="G5" s="13" t="s">
        <v>47</v>
      </c>
      <c r="H5" s="13" t="s">
        <v>15</v>
      </c>
      <c r="I5" s="12"/>
      <c r="J5" s="12"/>
      <c r="K5" s="12"/>
      <c r="L5" s="12"/>
      <c r="M5" s="12"/>
      <c r="N5" s="12"/>
      <c r="O5" s="12"/>
      <c r="P5" s="12"/>
      <c r="Q5" s="12"/>
      <c r="R5" s="12"/>
    </row>
    <row r="6" ht="22.5" customHeight="1">
      <c r="A6" s="13" t="s">
        <v>16</v>
      </c>
      <c r="B6" s="16">
        <v>46214.0</v>
      </c>
      <c r="C6" s="13" t="s">
        <v>59</v>
      </c>
      <c r="D6" s="13" t="s">
        <v>11</v>
      </c>
      <c r="E6" s="13" t="s">
        <v>46</v>
      </c>
      <c r="F6" s="13" t="s">
        <v>63</v>
      </c>
      <c r="G6" s="13" t="s">
        <v>58</v>
      </c>
      <c r="H6" s="13" t="s">
        <v>64</v>
      </c>
      <c r="I6" s="12"/>
      <c r="J6" s="12"/>
      <c r="K6" s="12"/>
      <c r="L6" s="12"/>
      <c r="M6" s="12"/>
      <c r="N6" s="12"/>
      <c r="O6" s="12"/>
      <c r="P6" s="12"/>
      <c r="Q6" s="12"/>
      <c r="R6" s="12"/>
    </row>
    <row r="7" ht="22.5" customHeight="1">
      <c r="A7" s="13" t="s">
        <v>22</v>
      </c>
      <c r="B7" s="16">
        <v>46215.0</v>
      </c>
      <c r="C7" s="13" t="s">
        <v>45</v>
      </c>
      <c r="D7" s="13" t="s">
        <v>11</v>
      </c>
      <c r="E7" s="13" t="s">
        <v>23</v>
      </c>
      <c r="F7" s="13" t="s">
        <v>45</v>
      </c>
      <c r="G7" s="13" t="s">
        <v>43</v>
      </c>
      <c r="H7" s="13" t="s">
        <v>27</v>
      </c>
      <c r="I7" s="12"/>
      <c r="J7" s="12"/>
      <c r="K7" s="12"/>
      <c r="L7" s="12"/>
      <c r="M7" s="12"/>
      <c r="N7" s="12"/>
      <c r="O7" s="12"/>
      <c r="P7" s="12"/>
      <c r="Q7" s="12"/>
      <c r="R7" s="12"/>
    </row>
    <row r="8" ht="22.5" customHeight="1">
      <c r="A8" s="13" t="s">
        <v>9</v>
      </c>
      <c r="B8" s="16">
        <v>46218.0</v>
      </c>
      <c r="C8" s="13" t="s">
        <v>28</v>
      </c>
      <c r="D8" s="13" t="s">
        <v>11</v>
      </c>
      <c r="E8" s="13" t="s">
        <v>29</v>
      </c>
      <c r="F8" s="13" t="s">
        <v>13</v>
      </c>
      <c r="G8" s="13" t="s">
        <v>14</v>
      </c>
      <c r="H8" s="13" t="s">
        <v>32</v>
      </c>
      <c r="I8" s="12"/>
      <c r="J8" s="12"/>
      <c r="K8" s="12"/>
      <c r="L8" s="12"/>
      <c r="M8" s="12"/>
      <c r="N8" s="12"/>
      <c r="O8" s="12"/>
      <c r="P8" s="12"/>
      <c r="Q8" s="12"/>
      <c r="R8" s="12"/>
    </row>
    <row r="9" ht="22.5" customHeight="1">
      <c r="A9" s="13" t="s">
        <v>16</v>
      </c>
      <c r="B9" s="16">
        <v>46221.0</v>
      </c>
      <c r="C9" s="13" t="s">
        <v>17</v>
      </c>
      <c r="D9" s="13" t="s">
        <v>11</v>
      </c>
      <c r="E9" s="13" t="s">
        <v>38</v>
      </c>
      <c r="F9" s="13" t="s">
        <v>19</v>
      </c>
      <c r="G9" s="13" t="s">
        <v>55</v>
      </c>
      <c r="H9" s="13" t="s">
        <v>60</v>
      </c>
      <c r="I9" s="12"/>
      <c r="J9" s="12"/>
      <c r="K9" s="12"/>
      <c r="L9" s="12"/>
      <c r="M9" s="12"/>
      <c r="N9" s="12"/>
      <c r="O9" s="12"/>
      <c r="P9" s="12"/>
      <c r="Q9" s="12"/>
      <c r="R9" s="12"/>
    </row>
    <row r="10" ht="22.5" customHeight="1">
      <c r="A10" s="13" t="s">
        <v>22</v>
      </c>
      <c r="B10" s="16">
        <v>46222.0</v>
      </c>
      <c r="C10" s="13" t="s">
        <v>23</v>
      </c>
      <c r="D10" s="13" t="s">
        <v>11</v>
      </c>
      <c r="E10" s="13" t="s">
        <v>51</v>
      </c>
      <c r="F10" s="13" t="s">
        <v>25</v>
      </c>
      <c r="G10" s="13" t="s">
        <v>39</v>
      </c>
      <c r="H10" s="13" t="s">
        <v>61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ht="22.5" customHeight="1">
      <c r="A11" s="13" t="s">
        <v>9</v>
      </c>
      <c r="B11" s="16">
        <v>46225.0</v>
      </c>
      <c r="C11" s="13" t="s">
        <v>10</v>
      </c>
      <c r="D11" s="13" t="s">
        <v>11</v>
      </c>
      <c r="E11" s="13" t="s">
        <v>54</v>
      </c>
      <c r="F11" s="13" t="s">
        <v>66</v>
      </c>
      <c r="G11" s="13" t="s">
        <v>67</v>
      </c>
      <c r="H11" s="13" t="s">
        <v>21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ht="22.5" customHeight="1">
      <c r="A12" s="13" t="s">
        <v>16</v>
      </c>
      <c r="B12" s="16">
        <v>46228.0</v>
      </c>
      <c r="C12" s="13" t="s">
        <v>33</v>
      </c>
      <c r="D12" s="13" t="s">
        <v>11</v>
      </c>
      <c r="E12" s="13" t="s">
        <v>46</v>
      </c>
      <c r="F12" s="13" t="s">
        <v>45</v>
      </c>
      <c r="G12" s="13" t="s">
        <v>58</v>
      </c>
      <c r="H12" s="13" t="s">
        <v>68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ht="22.5" customHeight="1">
      <c r="A13" s="13" t="s">
        <v>22</v>
      </c>
      <c r="B13" s="16">
        <v>46229.0</v>
      </c>
      <c r="C13" s="13" t="s">
        <v>45</v>
      </c>
      <c r="D13" s="13" t="s">
        <v>11</v>
      </c>
      <c r="E13" s="13" t="s">
        <v>34</v>
      </c>
      <c r="F13" s="11" t="s">
        <v>70</v>
      </c>
      <c r="G13" s="13" t="s">
        <v>26</v>
      </c>
      <c r="H13" s="13" t="s">
        <v>44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ht="22.5" customHeight="1">
      <c r="A14" s="13" t="s">
        <v>9</v>
      </c>
      <c r="B14" s="16">
        <v>46232.0</v>
      </c>
      <c r="C14" s="13" t="s">
        <v>12</v>
      </c>
      <c r="D14" s="13" t="s">
        <v>11</v>
      </c>
      <c r="E14" s="13" t="s">
        <v>18</v>
      </c>
      <c r="F14" s="13" t="s">
        <v>13</v>
      </c>
      <c r="G14" s="13" t="s">
        <v>47</v>
      </c>
      <c r="H14" s="13" t="s">
        <v>15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ht="22.5" customHeight="1">
      <c r="A15" s="13" t="s">
        <v>16</v>
      </c>
      <c r="B15" s="14">
        <v>46235.0</v>
      </c>
      <c r="C15" s="13" t="s">
        <v>17</v>
      </c>
      <c r="D15" s="13" t="s">
        <v>11</v>
      </c>
      <c r="E15" s="17" t="s">
        <v>34</v>
      </c>
      <c r="F15" s="13" t="s">
        <v>38</v>
      </c>
      <c r="G15" s="17" t="s">
        <v>52</v>
      </c>
      <c r="H15" s="13" t="s">
        <v>64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ht="22.5" customHeight="1">
      <c r="A16" s="13" t="s">
        <v>22</v>
      </c>
      <c r="B16" s="14">
        <v>46236.0</v>
      </c>
      <c r="C16" s="13" t="s">
        <v>50</v>
      </c>
      <c r="D16" s="13" t="s">
        <v>23</v>
      </c>
      <c r="E16" s="13" t="s">
        <v>59</v>
      </c>
      <c r="F16" s="13" t="s">
        <v>19</v>
      </c>
      <c r="G16" s="13" t="s">
        <v>20</v>
      </c>
      <c r="H16" s="13" t="s">
        <v>56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ht="22.5" customHeight="1">
      <c r="A17" s="13" t="s">
        <v>9</v>
      </c>
      <c r="B17" s="14">
        <v>46239.0</v>
      </c>
      <c r="C17" s="13" t="s">
        <v>10</v>
      </c>
      <c r="D17" s="13" t="s">
        <v>11</v>
      </c>
      <c r="E17" s="13" t="s">
        <v>24</v>
      </c>
      <c r="F17" s="13" t="s">
        <v>30</v>
      </c>
      <c r="G17" s="13" t="s">
        <v>41</v>
      </c>
      <c r="H17" s="13" t="s">
        <v>21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ht="22.5" customHeight="1">
      <c r="A18" s="13" t="s">
        <v>16</v>
      </c>
      <c r="B18" s="14">
        <v>46242.0</v>
      </c>
      <c r="C18" s="13" t="s">
        <v>33</v>
      </c>
      <c r="D18" s="13" t="s">
        <v>11</v>
      </c>
      <c r="E18" s="13" t="s">
        <v>54</v>
      </c>
      <c r="F18" s="13" t="s">
        <v>30</v>
      </c>
      <c r="G18" s="13" t="s">
        <v>55</v>
      </c>
      <c r="H18" s="13" t="s">
        <v>72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ht="22.5" customHeight="1">
      <c r="A19" s="13" t="s">
        <v>22</v>
      </c>
      <c r="B19" s="14">
        <v>46243.0</v>
      </c>
      <c r="C19" s="13" t="s">
        <v>42</v>
      </c>
      <c r="D19" s="13" t="s">
        <v>11</v>
      </c>
      <c r="E19" s="13" t="s">
        <v>51</v>
      </c>
      <c r="F19" s="13" t="s">
        <v>30</v>
      </c>
      <c r="G19" s="13" t="s">
        <v>35</v>
      </c>
      <c r="H19" s="13" t="s">
        <v>44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ht="22.5" customHeight="1">
      <c r="A20" s="13" t="s">
        <v>9</v>
      </c>
      <c r="B20" s="16">
        <v>46246.0</v>
      </c>
      <c r="C20" s="18" t="s">
        <v>73</v>
      </c>
      <c r="D20" s="13" t="s">
        <v>11</v>
      </c>
      <c r="E20" s="13" t="s">
        <v>29</v>
      </c>
      <c r="F20" s="18" t="s">
        <v>73</v>
      </c>
      <c r="G20" s="13" t="s">
        <v>47</v>
      </c>
      <c r="H20" s="13" t="s">
        <v>15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ht="22.5" customHeight="1">
      <c r="A21" s="13" t="s">
        <v>16</v>
      </c>
      <c r="B21" s="16">
        <v>46249.0</v>
      </c>
      <c r="C21" s="18" t="s">
        <v>73</v>
      </c>
      <c r="D21" s="13" t="s">
        <v>11</v>
      </c>
      <c r="E21" s="13" t="s">
        <v>46</v>
      </c>
      <c r="F21" s="18" t="s">
        <v>73</v>
      </c>
      <c r="G21" s="13" t="s">
        <v>58</v>
      </c>
      <c r="H21" s="13" t="s">
        <v>68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ht="22.5" customHeight="1">
      <c r="A22" s="13" t="s">
        <v>22</v>
      </c>
      <c r="B22" s="16">
        <v>46250.0</v>
      </c>
      <c r="C22" s="13" t="s">
        <v>59</v>
      </c>
      <c r="D22" s="13" t="s">
        <v>11</v>
      </c>
      <c r="E22" s="13" t="s">
        <v>34</v>
      </c>
      <c r="F22" s="13" t="s">
        <v>25</v>
      </c>
      <c r="G22" s="13" t="s">
        <v>52</v>
      </c>
      <c r="H22" s="13" t="s">
        <v>32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ht="22.5" customHeight="1">
      <c r="A23" s="13" t="s">
        <v>9</v>
      </c>
      <c r="B23" s="16">
        <v>46253.0</v>
      </c>
      <c r="C23" s="13" t="s">
        <v>12</v>
      </c>
      <c r="D23" s="13" t="s">
        <v>11</v>
      </c>
      <c r="E23" s="13" t="s">
        <v>24</v>
      </c>
      <c r="F23" s="13" t="s">
        <v>30</v>
      </c>
      <c r="G23" s="13" t="s">
        <v>31</v>
      </c>
      <c r="H23" s="13" t="s">
        <v>65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ht="22.5" customHeight="1">
      <c r="A24" s="13" t="s">
        <v>16</v>
      </c>
      <c r="B24" s="16">
        <v>46256.0</v>
      </c>
      <c r="C24" s="13" t="s">
        <v>33</v>
      </c>
      <c r="D24" s="13" t="s">
        <v>11</v>
      </c>
      <c r="E24" s="13" t="s">
        <v>54</v>
      </c>
      <c r="F24" s="13" t="s">
        <v>25</v>
      </c>
      <c r="G24" s="13" t="s">
        <v>20</v>
      </c>
      <c r="H24" s="13" t="s">
        <v>36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ht="22.5" customHeight="1">
      <c r="A25" s="13" t="s">
        <v>22</v>
      </c>
      <c r="B25" s="16">
        <v>46257.0</v>
      </c>
      <c r="C25" s="13" t="s">
        <v>45</v>
      </c>
      <c r="D25" s="13" t="s">
        <v>11</v>
      </c>
      <c r="E25" s="13" t="s">
        <v>51</v>
      </c>
      <c r="F25" s="13" t="s">
        <v>30</v>
      </c>
      <c r="G25" s="13" t="s">
        <v>43</v>
      </c>
      <c r="H25" s="13" t="s">
        <v>60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ht="22.5" customHeight="1">
      <c r="A26" s="13" t="s">
        <v>9</v>
      </c>
      <c r="B26" s="16">
        <v>46260.0</v>
      </c>
      <c r="C26" s="13" t="s">
        <v>42</v>
      </c>
      <c r="D26" s="13" t="s">
        <v>11</v>
      </c>
      <c r="E26" s="13" t="s">
        <v>29</v>
      </c>
      <c r="F26" s="13" t="s">
        <v>13</v>
      </c>
      <c r="G26" s="13" t="s">
        <v>14</v>
      </c>
      <c r="H26" s="13" t="s">
        <v>21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ht="22.5" customHeight="1">
      <c r="A27" s="13" t="s">
        <v>16</v>
      </c>
      <c r="B27" s="16">
        <v>46263.0</v>
      </c>
      <c r="C27" s="19" t="s">
        <v>74</v>
      </c>
      <c r="D27" s="13" t="s">
        <v>11</v>
      </c>
      <c r="E27" s="13" t="s">
        <v>46</v>
      </c>
      <c r="F27" s="13" t="s">
        <v>38</v>
      </c>
      <c r="G27" s="13" t="s">
        <v>39</v>
      </c>
      <c r="H27" s="13" t="s">
        <v>64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ht="22.5" customHeight="1">
      <c r="A28" s="13" t="s">
        <v>22</v>
      </c>
      <c r="B28" s="16">
        <v>46264.0</v>
      </c>
      <c r="C28" s="13" t="s">
        <v>50</v>
      </c>
      <c r="D28" s="13" t="s">
        <v>23</v>
      </c>
      <c r="E28" s="13" t="s">
        <v>34</v>
      </c>
      <c r="F28" s="13" t="s">
        <v>19</v>
      </c>
      <c r="G28" s="13" t="s">
        <v>26</v>
      </c>
      <c r="H28" s="13" t="s">
        <v>71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ht="22.5" customHeight="1">
      <c r="A29" s="13" t="s">
        <v>9</v>
      </c>
      <c r="B29" s="14">
        <v>46267.0</v>
      </c>
      <c r="C29" s="13" t="s">
        <v>10</v>
      </c>
      <c r="D29" s="13" t="s">
        <v>11</v>
      </c>
      <c r="E29" s="13" t="s">
        <v>12</v>
      </c>
      <c r="F29" s="13" t="s">
        <v>25</v>
      </c>
      <c r="G29" s="10" t="s">
        <v>32</v>
      </c>
      <c r="H29" s="13" t="s">
        <v>15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ht="22.5" customHeight="1">
      <c r="A30" s="13" t="s">
        <v>16</v>
      </c>
      <c r="B30" s="14">
        <v>46270.0</v>
      </c>
      <c r="C30" s="13" t="s">
        <v>17</v>
      </c>
      <c r="D30" s="13" t="s">
        <v>11</v>
      </c>
      <c r="E30" s="13" t="s">
        <v>59</v>
      </c>
      <c r="F30" s="13" t="s">
        <v>30</v>
      </c>
      <c r="G30" s="13" t="s">
        <v>20</v>
      </c>
      <c r="H30" s="13" t="s">
        <v>40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ht="22.5" customHeight="1">
      <c r="A31" s="13" t="s">
        <v>22</v>
      </c>
      <c r="B31" s="14">
        <v>46271.0</v>
      </c>
      <c r="C31" s="13" t="s">
        <v>37</v>
      </c>
      <c r="D31" s="13" t="s">
        <v>11</v>
      </c>
      <c r="E31" s="13" t="s">
        <v>51</v>
      </c>
      <c r="F31" s="13" t="s">
        <v>25</v>
      </c>
      <c r="G31" s="13" t="s">
        <v>35</v>
      </c>
      <c r="H31" s="13" t="s">
        <v>44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ht="22.5" customHeight="1">
      <c r="A32" s="13" t="s">
        <v>9</v>
      </c>
      <c r="B32" s="14">
        <v>46274.0</v>
      </c>
      <c r="C32" s="13" t="s">
        <v>49</v>
      </c>
      <c r="D32" s="13" t="s">
        <v>11</v>
      </c>
      <c r="E32" s="13" t="s">
        <v>46</v>
      </c>
      <c r="F32" s="13" t="s">
        <v>13</v>
      </c>
      <c r="G32" s="11" t="s">
        <v>74</v>
      </c>
      <c r="H32" s="13" t="s">
        <v>75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ht="22.5" customHeight="1">
      <c r="A33" s="13" t="s">
        <v>16</v>
      </c>
      <c r="B33" s="16">
        <v>46277.0</v>
      </c>
      <c r="C33" s="13" t="s">
        <v>50</v>
      </c>
      <c r="D33" s="13" t="s">
        <v>33</v>
      </c>
      <c r="E33" s="13" t="s">
        <v>18</v>
      </c>
      <c r="F33" s="13" t="s">
        <v>25</v>
      </c>
      <c r="G33" s="13" t="s">
        <v>58</v>
      </c>
      <c r="H33" s="13" t="s">
        <v>21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ht="22.5" customHeight="1">
      <c r="A34" s="13" t="s">
        <v>22</v>
      </c>
      <c r="B34" s="16">
        <v>46278.0</v>
      </c>
      <c r="C34" s="13" t="s">
        <v>45</v>
      </c>
      <c r="D34" s="13" t="s">
        <v>11</v>
      </c>
      <c r="E34" s="13" t="s">
        <v>23</v>
      </c>
      <c r="F34" s="13" t="s">
        <v>19</v>
      </c>
      <c r="G34" s="13" t="s">
        <v>52</v>
      </c>
      <c r="H34" s="13" t="s">
        <v>71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ht="22.5" customHeight="1">
      <c r="A35" s="13" t="s">
        <v>9</v>
      </c>
      <c r="B35" s="16">
        <v>46281.0</v>
      </c>
      <c r="C35" s="13" t="s">
        <v>28</v>
      </c>
      <c r="D35" s="13" t="s">
        <v>11</v>
      </c>
      <c r="E35" s="13" t="s">
        <v>34</v>
      </c>
      <c r="F35" s="13" t="s">
        <v>30</v>
      </c>
      <c r="G35" s="13" t="s">
        <v>41</v>
      </c>
      <c r="H35" s="13" t="s">
        <v>65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ht="22.5" customHeight="1">
      <c r="A36" s="13" t="s">
        <v>16</v>
      </c>
      <c r="B36" s="16">
        <v>46284.0</v>
      </c>
      <c r="C36" s="13" t="s">
        <v>12</v>
      </c>
      <c r="D36" s="13" t="s">
        <v>11</v>
      </c>
      <c r="E36" s="13" t="s">
        <v>38</v>
      </c>
      <c r="F36" s="11" t="s">
        <v>70</v>
      </c>
      <c r="G36" s="13" t="s">
        <v>39</v>
      </c>
      <c r="H36" s="13" t="s">
        <v>26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ht="22.5" customHeight="1">
      <c r="A37" s="13" t="s">
        <v>22</v>
      </c>
      <c r="B37" s="16">
        <v>46285.0</v>
      </c>
      <c r="C37" s="13" t="s">
        <v>59</v>
      </c>
      <c r="D37" s="13" t="s">
        <v>11</v>
      </c>
      <c r="E37" s="17" t="s">
        <v>12</v>
      </c>
      <c r="F37" s="13" t="s">
        <v>30</v>
      </c>
      <c r="G37" s="10" t="s">
        <v>43</v>
      </c>
      <c r="H37" s="13" t="s">
        <v>44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ht="22.5" customHeight="1">
      <c r="A38" s="13" t="s">
        <v>9</v>
      </c>
      <c r="B38" s="16">
        <v>46288.0</v>
      </c>
      <c r="C38" s="13" t="s">
        <v>49</v>
      </c>
      <c r="D38" s="13" t="s">
        <v>11</v>
      </c>
      <c r="E38" s="13" t="s">
        <v>54</v>
      </c>
      <c r="F38" s="13" t="s">
        <v>13</v>
      </c>
      <c r="G38" s="13" t="s">
        <v>32</v>
      </c>
      <c r="H38" s="13" t="s">
        <v>75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ht="22.5" customHeight="1">
      <c r="A39" s="13" t="s">
        <v>16</v>
      </c>
      <c r="B39" s="16">
        <v>46291.0</v>
      </c>
      <c r="C39" s="13" t="s">
        <v>42</v>
      </c>
      <c r="D39" s="13" t="s">
        <v>11</v>
      </c>
      <c r="E39" s="13" t="s">
        <v>18</v>
      </c>
      <c r="F39" s="13" t="s">
        <v>25</v>
      </c>
      <c r="G39" s="13" t="s">
        <v>35</v>
      </c>
      <c r="H39" s="13" t="s">
        <v>60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ht="22.5" customHeight="1">
      <c r="A40" s="13" t="s">
        <v>22</v>
      </c>
      <c r="B40" s="16">
        <v>46292.0</v>
      </c>
      <c r="C40" s="13" t="s">
        <v>50</v>
      </c>
      <c r="D40" s="13" t="s">
        <v>23</v>
      </c>
      <c r="E40" s="13" t="s">
        <v>59</v>
      </c>
      <c r="F40" s="19" t="s">
        <v>74</v>
      </c>
      <c r="G40" s="13" t="s">
        <v>52</v>
      </c>
      <c r="H40" s="13" t="s">
        <v>61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ht="22.5" customHeight="1">
      <c r="A41" s="13" t="s">
        <v>9</v>
      </c>
      <c r="B41" s="16">
        <v>46295.0</v>
      </c>
      <c r="C41" s="13" t="s">
        <v>28</v>
      </c>
      <c r="D41" s="13" t="s">
        <v>11</v>
      </c>
      <c r="E41" s="13" t="s">
        <v>24</v>
      </c>
      <c r="F41" s="13" t="s">
        <v>30</v>
      </c>
      <c r="G41" s="13" t="s">
        <v>41</v>
      </c>
      <c r="H41" s="13" t="s">
        <v>21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ht="22.5" customHeight="1">
      <c r="A42" s="13" t="s">
        <v>16</v>
      </c>
      <c r="B42" s="14">
        <v>46298.0</v>
      </c>
      <c r="C42" s="13" t="s">
        <v>12</v>
      </c>
      <c r="D42" s="13" t="s">
        <v>11</v>
      </c>
      <c r="E42" s="13" t="s">
        <v>38</v>
      </c>
      <c r="F42" s="13" t="s">
        <v>30</v>
      </c>
      <c r="G42" s="13" t="s">
        <v>58</v>
      </c>
      <c r="H42" s="13" t="s">
        <v>40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2"/>
      <c r="B43" s="20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0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0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0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0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0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0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0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0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0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0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0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0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0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0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0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0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0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0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0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0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0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0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0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0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0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0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0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0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0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0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0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0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0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0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0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0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0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0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0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0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0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0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0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0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0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0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0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0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0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0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0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0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0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0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0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0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0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0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0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0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0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0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0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0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0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0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0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0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0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0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0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0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0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0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0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0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0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0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0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0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0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0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0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0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0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0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0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0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0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0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0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0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0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0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0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0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0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0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0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0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0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0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0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0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0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0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0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0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0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0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0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0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0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0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0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0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0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0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0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0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0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0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0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0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0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0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0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0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0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0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0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0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0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0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0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0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0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0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0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0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0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0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0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0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0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0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0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0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0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0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0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0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0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0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0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0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0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0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0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0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0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0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0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0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0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0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0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0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0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0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0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0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0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0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0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0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0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0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0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0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0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0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0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0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0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0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0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0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0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0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0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0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0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0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0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0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0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0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0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0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0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0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0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0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0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0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0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0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0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0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0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0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0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0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0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0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0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0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0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0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0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0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0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0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0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0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0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0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0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0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0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0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0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0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0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0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0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0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0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0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0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0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0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0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0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0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0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0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0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0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0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0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0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0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0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0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0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0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0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0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0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0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0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0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0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0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0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0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0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0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0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0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0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0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0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0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0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0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0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0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0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0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0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0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0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0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0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0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0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0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0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0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0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0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0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0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0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0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0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0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0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0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0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0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0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0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0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0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0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0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0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0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0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0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0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0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0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0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0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0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0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0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0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0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0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0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0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0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0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0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0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0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0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0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0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0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0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0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0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0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0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0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0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0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0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0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0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0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0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0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0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0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0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0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0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0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0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0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0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0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0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0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0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0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0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0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0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0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0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0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0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0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0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0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0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0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0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0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0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0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0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0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0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0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0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0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0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0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0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0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0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0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0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0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0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0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0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0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0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0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0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0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0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0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0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0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0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0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0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0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0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0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0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0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0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0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0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0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0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0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0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0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0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0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0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0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0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0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0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0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0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0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0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0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0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0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0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0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0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0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0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0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0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0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0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0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0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0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0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0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0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0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0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0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0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0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0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0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0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0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0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0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0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0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0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0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0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0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0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0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0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0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0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0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0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0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0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0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0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0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0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0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0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0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0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0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0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0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0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0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0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0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0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0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0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0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0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0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0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0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0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0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0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0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0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0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0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0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0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0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0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0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0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0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0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0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0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0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0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0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0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0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0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0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0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0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0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0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0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0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0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0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0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0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0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0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0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0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0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0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0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0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0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0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0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0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0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0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0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0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0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0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0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0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0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0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0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0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0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0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0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0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0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0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0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0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0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0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0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0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0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0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0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0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0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0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0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0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0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0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0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0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0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0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0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0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0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0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0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0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0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0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0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0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0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0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0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0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0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0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0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0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0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0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0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0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0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0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0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0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0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0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0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0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0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0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0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0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0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0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0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0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0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0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0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0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0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0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0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0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0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0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0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0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0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0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0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0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0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0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0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0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0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0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0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0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0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0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0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0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0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0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0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0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0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0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0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0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0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0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0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0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0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0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0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0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0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0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0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0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0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0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0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0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0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0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0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0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0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0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0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0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0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0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0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0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0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0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0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0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0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0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0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0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0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0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0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0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0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0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0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0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0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0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0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0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0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0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0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0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0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0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0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0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0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0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0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0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0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0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0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0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0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0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0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0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0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0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0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0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0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0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0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0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0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0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0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0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0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0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0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0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0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0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0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0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0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0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0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0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0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0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0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0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0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0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0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0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0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0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0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0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0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0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0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0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0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0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0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0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0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0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0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0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0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0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0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0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0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0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0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0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0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0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0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0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0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0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0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0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0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0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0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0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0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0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0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0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0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0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0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0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0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0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0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0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0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0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0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0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0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0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0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0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0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0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0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0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0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0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0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0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0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0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0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0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0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0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0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0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0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0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0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0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0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0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0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0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0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0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0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0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0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0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0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0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0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0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0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0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mergeCells count="1">
    <mergeCell ref="A1:H1"/>
  </mergeCells>
  <printOptions horizontalCentered="1"/>
  <pageMargins bottom="0.75" footer="0.0" header="0.0" left="0.25" right="0.25" top="0.75"/>
  <pageSetup fitToHeight="0" paperSize="9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5.13"/>
    <col customWidth="1" min="4" max="4" width="13.75"/>
    <col customWidth="1" min="5" max="8" width="15.13"/>
  </cols>
  <sheetData>
    <row r="1">
      <c r="A1" s="21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3" t="s">
        <v>8</v>
      </c>
    </row>
    <row r="2">
      <c r="A2" s="24" t="s">
        <v>16</v>
      </c>
      <c r="B2" s="25">
        <v>46298.0</v>
      </c>
      <c r="C2" s="26" t="s">
        <v>42</v>
      </c>
      <c r="D2" s="26" t="s">
        <v>11</v>
      </c>
      <c r="E2" s="26" t="s">
        <v>59</v>
      </c>
      <c r="F2" s="26" t="s">
        <v>38</v>
      </c>
      <c r="G2" s="26" t="s">
        <v>58</v>
      </c>
      <c r="H2" s="27" t="s">
        <v>32</v>
      </c>
      <c r="J2" s="28" t="str">
        <f t="shared" ref="J2:J8" si="1">C2</f>
        <v>J KARRAN</v>
      </c>
      <c r="K2" s="29">
        <f t="shared" ref="K2:K8" si="2">COUNTIF(C$2:C$42,C2)</f>
        <v>3</v>
      </c>
      <c r="L2" s="28" t="str">
        <f t="shared" ref="L2:L10" si="3">E2</f>
        <v>K BATTY</v>
      </c>
      <c r="M2" s="29">
        <f t="shared" ref="M2:M10" si="4">COUNTIF(E$2:E$42,E2)</f>
        <v>3</v>
      </c>
    </row>
    <row r="3">
      <c r="A3" s="24" t="s">
        <v>22</v>
      </c>
      <c r="B3" s="25">
        <v>46299.0</v>
      </c>
      <c r="C3" s="26" t="s">
        <v>23</v>
      </c>
      <c r="D3" s="26" t="s">
        <v>11</v>
      </c>
      <c r="E3" s="26" t="s">
        <v>12</v>
      </c>
      <c r="F3" s="26" t="s">
        <v>19</v>
      </c>
      <c r="G3" s="26" t="s">
        <v>43</v>
      </c>
      <c r="H3" s="27" t="s">
        <v>61</v>
      </c>
      <c r="J3" s="28" t="str">
        <f t="shared" si="1"/>
        <v>P NAYERI</v>
      </c>
      <c r="K3" s="29">
        <f t="shared" si="2"/>
        <v>4</v>
      </c>
      <c r="L3" s="28" t="str">
        <f t="shared" si="3"/>
        <v>R KALIN</v>
      </c>
      <c r="M3" s="29">
        <f t="shared" si="4"/>
        <v>3</v>
      </c>
    </row>
    <row r="4">
      <c r="A4" s="24" t="s">
        <v>9</v>
      </c>
      <c r="B4" s="25">
        <v>46302.0</v>
      </c>
      <c r="C4" s="26" t="s">
        <v>28</v>
      </c>
      <c r="D4" s="26" t="s">
        <v>11</v>
      </c>
      <c r="E4" s="26" t="s">
        <v>34</v>
      </c>
      <c r="F4" s="26" t="s">
        <v>41</v>
      </c>
      <c r="G4" s="26" t="s">
        <v>31</v>
      </c>
      <c r="H4" s="27" t="s">
        <v>77</v>
      </c>
      <c r="J4" s="28" t="str">
        <f t="shared" si="1"/>
        <v>A MARVIN</v>
      </c>
      <c r="K4" s="29">
        <f t="shared" si="2"/>
        <v>4</v>
      </c>
      <c r="L4" s="28" t="str">
        <f t="shared" si="3"/>
        <v>M BOND</v>
      </c>
      <c r="M4" s="29">
        <f t="shared" si="4"/>
        <v>6</v>
      </c>
    </row>
    <row r="5">
      <c r="A5" s="24" t="s">
        <v>16</v>
      </c>
      <c r="B5" s="30">
        <v>46305.0</v>
      </c>
      <c r="C5" s="26" t="s">
        <v>45</v>
      </c>
      <c r="D5" s="26" t="s">
        <v>11</v>
      </c>
      <c r="E5" s="26" t="s">
        <v>29</v>
      </c>
      <c r="F5" s="26" t="s">
        <v>25</v>
      </c>
      <c r="G5" s="26" t="s">
        <v>20</v>
      </c>
      <c r="H5" s="27" t="s">
        <v>68</v>
      </c>
      <c r="J5" s="28" t="str">
        <f t="shared" si="1"/>
        <v>P TOUGH</v>
      </c>
      <c r="K5" s="29">
        <f t="shared" si="2"/>
        <v>4</v>
      </c>
      <c r="L5" s="28" t="str">
        <f t="shared" si="3"/>
        <v>R NUZA</v>
      </c>
      <c r="M5" s="29">
        <f t="shared" si="4"/>
        <v>7</v>
      </c>
    </row>
    <row r="6">
      <c r="A6" s="24" t="s">
        <v>22</v>
      </c>
      <c r="B6" s="30">
        <v>46306.0</v>
      </c>
      <c r="C6" s="26" t="s">
        <v>37</v>
      </c>
      <c r="D6" s="26" t="s">
        <v>11</v>
      </c>
      <c r="E6" s="31" t="s">
        <v>38</v>
      </c>
      <c r="F6" s="26" t="s">
        <v>25</v>
      </c>
      <c r="G6" s="26" t="s">
        <v>52</v>
      </c>
      <c r="H6" s="27" t="s">
        <v>40</v>
      </c>
      <c r="J6" s="28" t="str">
        <f t="shared" si="1"/>
        <v>G ALEXANDER</v>
      </c>
      <c r="K6" s="29">
        <f t="shared" si="2"/>
        <v>4</v>
      </c>
      <c r="L6" s="28" t="str">
        <f t="shared" si="3"/>
        <v>T PAVIS</v>
      </c>
      <c r="M6" s="29">
        <f t="shared" si="4"/>
        <v>3</v>
      </c>
    </row>
    <row r="7">
      <c r="A7" s="24" t="s">
        <v>9</v>
      </c>
      <c r="B7" s="30">
        <v>46309.0</v>
      </c>
      <c r="C7" s="26" t="s">
        <v>10</v>
      </c>
      <c r="D7" s="26" t="s">
        <v>11</v>
      </c>
      <c r="E7" s="26"/>
      <c r="F7" s="26" t="s">
        <v>41</v>
      </c>
      <c r="G7" s="26" t="s">
        <v>67</v>
      </c>
      <c r="H7" s="27" t="s">
        <v>65</v>
      </c>
      <c r="J7" s="28" t="str">
        <f t="shared" si="1"/>
        <v>C STURDY</v>
      </c>
      <c r="K7" s="29">
        <f t="shared" si="2"/>
        <v>4</v>
      </c>
      <c r="L7" s="28" t="str">
        <f t="shared" si="3"/>
        <v/>
      </c>
      <c r="M7" s="29">
        <f t="shared" si="4"/>
        <v>0</v>
      </c>
    </row>
    <row r="8">
      <c r="A8" s="24" t="s">
        <v>16</v>
      </c>
      <c r="B8" s="30">
        <v>46312.0</v>
      </c>
      <c r="C8" s="26" t="s">
        <v>59</v>
      </c>
      <c r="D8" s="26" t="s">
        <v>11</v>
      </c>
      <c r="E8" s="26" t="s">
        <v>18</v>
      </c>
      <c r="F8" s="26" t="s">
        <v>38</v>
      </c>
      <c r="G8" s="26" t="s">
        <v>35</v>
      </c>
      <c r="H8" s="27" t="s">
        <v>21</v>
      </c>
      <c r="J8" s="28" t="str">
        <f t="shared" si="1"/>
        <v>K BATTY</v>
      </c>
      <c r="K8" s="29">
        <f t="shared" si="2"/>
        <v>3</v>
      </c>
      <c r="L8" s="28" t="str">
        <f t="shared" si="3"/>
        <v>K PROCTOR</v>
      </c>
      <c r="M8" s="29">
        <f t="shared" si="4"/>
        <v>6</v>
      </c>
    </row>
    <row r="9">
      <c r="A9" s="24" t="s">
        <v>22</v>
      </c>
      <c r="B9" s="30">
        <v>46313.0</v>
      </c>
      <c r="C9" s="26" t="s">
        <v>23</v>
      </c>
      <c r="D9" s="26" t="s">
        <v>11</v>
      </c>
      <c r="E9" s="26" t="s">
        <v>12</v>
      </c>
      <c r="F9" s="26" t="s">
        <v>19</v>
      </c>
      <c r="G9" s="26" t="s">
        <v>14</v>
      </c>
      <c r="H9" s="27" t="s">
        <v>78</v>
      </c>
      <c r="K9" s="29"/>
      <c r="L9" s="28" t="str">
        <f t="shared" si="3"/>
        <v>R KALIN</v>
      </c>
      <c r="M9" s="29">
        <f t="shared" si="4"/>
        <v>3</v>
      </c>
    </row>
    <row r="10">
      <c r="A10" s="24" t="s">
        <v>9</v>
      </c>
      <c r="B10" s="30">
        <v>46316.0</v>
      </c>
      <c r="C10" s="26" t="s">
        <v>49</v>
      </c>
      <c r="D10" s="26" t="s">
        <v>11</v>
      </c>
      <c r="E10" s="26" t="s">
        <v>46</v>
      </c>
      <c r="F10" s="26" t="s">
        <v>41</v>
      </c>
      <c r="G10" s="26" t="s">
        <v>47</v>
      </c>
      <c r="H10" s="27" t="s">
        <v>77</v>
      </c>
      <c r="J10" s="28" t="str">
        <f t="shared" ref="J10:J12" si="5">C10</f>
        <v>D BRADBROOK</v>
      </c>
      <c r="K10" s="29">
        <f t="shared" ref="K10:K12" si="6">COUNTIF(C$2:C$42,C10)</f>
        <v>3</v>
      </c>
      <c r="L10" s="28" t="str">
        <f t="shared" si="3"/>
        <v>H MCDERMOTT-ROW</v>
      </c>
      <c r="M10" s="29">
        <f t="shared" si="4"/>
        <v>5</v>
      </c>
    </row>
    <row r="11">
      <c r="A11" s="24" t="s">
        <v>16</v>
      </c>
      <c r="B11" s="30">
        <v>46319.0</v>
      </c>
      <c r="C11" s="26" t="s">
        <v>33</v>
      </c>
      <c r="D11" s="26" t="s">
        <v>11</v>
      </c>
      <c r="E11" s="26" t="s">
        <v>34</v>
      </c>
      <c r="F11" s="26" t="s">
        <v>17</v>
      </c>
      <c r="G11" s="26" t="s">
        <v>55</v>
      </c>
      <c r="H11" s="27" t="s">
        <v>68</v>
      </c>
      <c r="J11" s="28" t="str">
        <f t="shared" si="5"/>
        <v>D PYE</v>
      </c>
      <c r="K11" s="29">
        <f t="shared" si="6"/>
        <v>3</v>
      </c>
      <c r="M11" s="29"/>
    </row>
    <row r="12">
      <c r="A12" s="24" t="s">
        <v>22</v>
      </c>
      <c r="B12" s="30">
        <v>46320.0</v>
      </c>
      <c r="C12" s="26" t="s">
        <v>66</v>
      </c>
      <c r="D12" s="26" t="s">
        <v>37</v>
      </c>
      <c r="E12" s="26" t="s">
        <v>29</v>
      </c>
      <c r="F12" s="26"/>
      <c r="G12" s="26" t="s">
        <v>32</v>
      </c>
      <c r="H12" s="27" t="s">
        <v>61</v>
      </c>
      <c r="J12" s="28" t="str">
        <f t="shared" si="5"/>
        <v>A HOLLINGS</v>
      </c>
      <c r="K12" s="29">
        <f t="shared" si="6"/>
        <v>3</v>
      </c>
      <c r="M12" s="29"/>
    </row>
    <row r="13">
      <c r="A13" s="24" t="s">
        <v>9</v>
      </c>
      <c r="B13" s="30">
        <v>46323.0</v>
      </c>
      <c r="C13" s="26" t="s">
        <v>45</v>
      </c>
      <c r="D13" s="26" t="s">
        <v>11</v>
      </c>
      <c r="E13" s="26"/>
      <c r="F13" s="26" t="s">
        <v>41</v>
      </c>
      <c r="G13" s="26" t="s">
        <v>31</v>
      </c>
      <c r="H13" s="27" t="s">
        <v>65</v>
      </c>
      <c r="K13" s="29"/>
      <c r="M13" s="29"/>
    </row>
    <row r="14">
      <c r="A14" s="24" t="s">
        <v>16</v>
      </c>
      <c r="B14" s="30">
        <v>46326.0</v>
      </c>
      <c r="C14" s="26" t="s">
        <v>42</v>
      </c>
      <c r="D14" s="26" t="s">
        <v>11</v>
      </c>
      <c r="E14" s="26" t="s">
        <v>18</v>
      </c>
      <c r="F14" s="26" t="s">
        <v>25</v>
      </c>
      <c r="G14" s="26" t="s">
        <v>52</v>
      </c>
      <c r="H14" s="27" t="s">
        <v>21</v>
      </c>
      <c r="K14" s="29"/>
      <c r="M14" s="29"/>
    </row>
    <row r="15">
      <c r="A15" s="24" t="s">
        <v>22</v>
      </c>
      <c r="B15" s="25">
        <v>46327.0</v>
      </c>
      <c r="C15" s="26" t="s">
        <v>23</v>
      </c>
      <c r="D15" s="26" t="s">
        <v>11</v>
      </c>
      <c r="E15" s="26" t="s">
        <v>12</v>
      </c>
      <c r="F15" s="26" t="s">
        <v>19</v>
      </c>
      <c r="G15" s="26" t="s">
        <v>39</v>
      </c>
      <c r="H15" s="27" t="s">
        <v>76</v>
      </c>
      <c r="K15" s="29"/>
      <c r="M15" s="29"/>
    </row>
    <row r="16">
      <c r="A16" s="24" t="s">
        <v>9</v>
      </c>
      <c r="B16" s="25">
        <v>46330.0</v>
      </c>
      <c r="C16" s="26" t="s">
        <v>28</v>
      </c>
      <c r="D16" s="26" t="s">
        <v>11</v>
      </c>
      <c r="E16" s="26" t="s">
        <v>46</v>
      </c>
      <c r="F16" s="26" t="s">
        <v>41</v>
      </c>
      <c r="G16" s="26" t="s">
        <v>14</v>
      </c>
      <c r="H16" s="27" t="s">
        <v>15</v>
      </c>
      <c r="K16" s="29"/>
      <c r="M16" s="29"/>
    </row>
    <row r="17">
      <c r="A17" s="24" t="s">
        <v>16</v>
      </c>
      <c r="B17" s="25">
        <v>46333.0</v>
      </c>
      <c r="C17" s="26" t="s">
        <v>17</v>
      </c>
      <c r="D17" s="26" t="s">
        <v>11</v>
      </c>
      <c r="E17" s="26" t="s">
        <v>59</v>
      </c>
      <c r="F17" s="26" t="s">
        <v>50</v>
      </c>
      <c r="G17" s="26" t="s">
        <v>55</v>
      </c>
      <c r="H17" s="27" t="s">
        <v>44</v>
      </c>
      <c r="M17" s="29"/>
    </row>
    <row r="18">
      <c r="A18" s="24" t="s">
        <v>22</v>
      </c>
      <c r="B18" s="25">
        <v>46334.0</v>
      </c>
      <c r="C18" s="26" t="s">
        <v>37</v>
      </c>
      <c r="D18" s="26" t="s">
        <v>11</v>
      </c>
      <c r="E18" s="26" t="s">
        <v>29</v>
      </c>
      <c r="F18" s="26" t="s">
        <v>25</v>
      </c>
      <c r="G18" s="26" t="s">
        <v>32</v>
      </c>
      <c r="H18" s="27" t="s">
        <v>40</v>
      </c>
    </row>
    <row r="19">
      <c r="A19" s="24" t="s">
        <v>9</v>
      </c>
      <c r="B19" s="30">
        <v>46337.0</v>
      </c>
      <c r="C19" s="26" t="s">
        <v>10</v>
      </c>
      <c r="D19" s="26" t="s">
        <v>11</v>
      </c>
      <c r="E19" s="26" t="s">
        <v>34</v>
      </c>
      <c r="F19" s="26" t="s">
        <v>13</v>
      </c>
      <c r="G19" s="26" t="s">
        <v>67</v>
      </c>
      <c r="H19" s="27" t="s">
        <v>75</v>
      </c>
    </row>
    <row r="20">
      <c r="A20" s="24" t="s">
        <v>16</v>
      </c>
      <c r="B20" s="30">
        <v>46340.0</v>
      </c>
      <c r="C20" s="26" t="s">
        <v>50</v>
      </c>
      <c r="D20" s="26" t="s">
        <v>11</v>
      </c>
      <c r="E20" s="26" t="s">
        <v>38</v>
      </c>
      <c r="F20" s="26" t="s">
        <v>38</v>
      </c>
      <c r="G20" s="26" t="s">
        <v>52</v>
      </c>
      <c r="H20" s="27" t="s">
        <v>21</v>
      </c>
      <c r="J20" s="28" t="str">
        <f>C20</f>
        <v>A PEACOCK</v>
      </c>
      <c r="K20" s="29">
        <f>COUNTIF(C$2:C$42,C20)</f>
        <v>2</v>
      </c>
    </row>
    <row r="21">
      <c r="A21" s="24" t="s">
        <v>22</v>
      </c>
      <c r="B21" s="30">
        <v>46341.0</v>
      </c>
      <c r="C21" s="31" t="s">
        <v>45</v>
      </c>
      <c r="D21" s="31" t="s">
        <v>11</v>
      </c>
      <c r="E21" s="31" t="s">
        <v>23</v>
      </c>
      <c r="F21" s="26" t="s">
        <v>25</v>
      </c>
      <c r="G21" s="26" t="s">
        <v>62</v>
      </c>
      <c r="H21" s="27" t="s">
        <v>60</v>
      </c>
    </row>
    <row r="22">
      <c r="A22" s="24" t="s">
        <v>9</v>
      </c>
      <c r="B22" s="30">
        <v>46344.0</v>
      </c>
      <c r="C22" s="31" t="s">
        <v>28</v>
      </c>
      <c r="D22" s="31" t="s">
        <v>11</v>
      </c>
      <c r="E22" s="31" t="s">
        <v>18</v>
      </c>
      <c r="F22" s="26" t="s">
        <v>13</v>
      </c>
      <c r="G22" s="26" t="s">
        <v>14</v>
      </c>
      <c r="H22" s="27" t="s">
        <v>15</v>
      </c>
    </row>
    <row r="23">
      <c r="A23" s="24" t="s">
        <v>16</v>
      </c>
      <c r="B23" s="30">
        <v>46347.0</v>
      </c>
      <c r="C23" s="31" t="s">
        <v>17</v>
      </c>
      <c r="D23" s="31" t="s">
        <v>11</v>
      </c>
      <c r="E23" s="31" t="s">
        <v>59</v>
      </c>
      <c r="F23" s="26" t="s">
        <v>19</v>
      </c>
      <c r="G23" s="26" t="s">
        <v>55</v>
      </c>
      <c r="H23" s="27" t="s">
        <v>76</v>
      </c>
    </row>
    <row r="24">
      <c r="A24" s="24" t="s">
        <v>22</v>
      </c>
      <c r="B24" s="30">
        <v>46348.0</v>
      </c>
      <c r="C24" s="31" t="s">
        <v>42</v>
      </c>
      <c r="D24" s="31" t="s">
        <v>11</v>
      </c>
      <c r="E24" s="31" t="s">
        <v>29</v>
      </c>
      <c r="F24" s="26" t="s">
        <v>50</v>
      </c>
      <c r="G24" s="26" t="s">
        <v>35</v>
      </c>
      <c r="H24" s="27" t="s">
        <v>48</v>
      </c>
    </row>
    <row r="25">
      <c r="A25" s="24" t="s">
        <v>9</v>
      </c>
      <c r="B25" s="30">
        <v>46351.0</v>
      </c>
      <c r="C25" s="31" t="s">
        <v>66</v>
      </c>
      <c r="D25" s="31" t="s">
        <v>28</v>
      </c>
      <c r="E25" s="31" t="s">
        <v>46</v>
      </c>
      <c r="F25" s="26" t="s">
        <v>41</v>
      </c>
      <c r="G25" s="26" t="s">
        <v>43</v>
      </c>
      <c r="H25" s="27" t="s">
        <v>77</v>
      </c>
    </row>
    <row r="26">
      <c r="A26" s="24" t="s">
        <v>16</v>
      </c>
      <c r="B26" s="30">
        <v>46354.0</v>
      </c>
      <c r="C26" s="31" t="s">
        <v>33</v>
      </c>
      <c r="D26" s="31" t="s">
        <v>11</v>
      </c>
      <c r="E26" s="31" t="s">
        <v>54</v>
      </c>
      <c r="F26" s="26" t="s">
        <v>38</v>
      </c>
      <c r="G26" s="26" t="s">
        <v>52</v>
      </c>
      <c r="H26" s="27" t="s">
        <v>72</v>
      </c>
    </row>
    <row r="27">
      <c r="A27" s="24" t="s">
        <v>22</v>
      </c>
      <c r="B27" s="30">
        <v>46355.0</v>
      </c>
      <c r="C27" s="31" t="s">
        <v>23</v>
      </c>
      <c r="D27" s="31" t="s">
        <v>11</v>
      </c>
      <c r="E27" s="31" t="s">
        <v>34</v>
      </c>
      <c r="F27" s="26" t="s">
        <v>25</v>
      </c>
      <c r="G27" s="26" t="s">
        <v>32</v>
      </c>
      <c r="H27" s="27" t="s">
        <v>40</v>
      </c>
    </row>
    <row r="28">
      <c r="A28" s="24" t="s">
        <v>9</v>
      </c>
      <c r="B28" s="25">
        <v>46358.0</v>
      </c>
      <c r="C28" s="31" t="s">
        <v>49</v>
      </c>
      <c r="D28" s="31" t="s">
        <v>11</v>
      </c>
      <c r="E28" s="31" t="s">
        <v>18</v>
      </c>
      <c r="F28" s="26" t="s">
        <v>41</v>
      </c>
      <c r="G28" s="26" t="s">
        <v>14</v>
      </c>
      <c r="H28" s="27" t="s">
        <v>21</v>
      </c>
    </row>
    <row r="29">
      <c r="A29" s="24" t="s">
        <v>16</v>
      </c>
      <c r="B29" s="25">
        <v>46361.0</v>
      </c>
      <c r="C29" s="31" t="s">
        <v>59</v>
      </c>
      <c r="D29" s="31" t="s">
        <v>11</v>
      </c>
      <c r="E29" s="31" t="s">
        <v>38</v>
      </c>
      <c r="F29" s="26" t="s">
        <v>19</v>
      </c>
      <c r="G29" s="26" t="s">
        <v>20</v>
      </c>
      <c r="H29" s="27" t="s">
        <v>64</v>
      </c>
    </row>
    <row r="30">
      <c r="A30" s="24" t="s">
        <v>22</v>
      </c>
      <c r="B30" s="25">
        <v>46362.0</v>
      </c>
      <c r="C30" s="31" t="s">
        <v>37</v>
      </c>
      <c r="D30" s="31" t="s">
        <v>11</v>
      </c>
      <c r="E30" s="31" t="s">
        <v>29</v>
      </c>
      <c r="F30" s="26" t="s">
        <v>50</v>
      </c>
      <c r="G30" s="26" t="s">
        <v>39</v>
      </c>
      <c r="H30" s="27" t="s">
        <v>48</v>
      </c>
    </row>
    <row r="31">
      <c r="A31" s="24" t="s">
        <v>9</v>
      </c>
      <c r="B31" s="25">
        <v>46365.0</v>
      </c>
      <c r="C31" s="31" t="s">
        <v>10</v>
      </c>
      <c r="D31" s="31" t="s">
        <v>11</v>
      </c>
      <c r="E31" s="31" t="s">
        <v>46</v>
      </c>
      <c r="F31" s="26" t="s">
        <v>41</v>
      </c>
      <c r="G31" s="26" t="s">
        <v>43</v>
      </c>
      <c r="H31" s="27" t="s">
        <v>77</v>
      </c>
    </row>
    <row r="32">
      <c r="A32" s="24" t="s">
        <v>16</v>
      </c>
      <c r="B32" s="30">
        <v>46368.0</v>
      </c>
      <c r="C32" s="31" t="s">
        <v>66</v>
      </c>
      <c r="D32" s="31" t="s">
        <v>33</v>
      </c>
      <c r="E32" s="31" t="s">
        <v>54</v>
      </c>
      <c r="F32" s="26" t="s">
        <v>38</v>
      </c>
      <c r="G32" s="26" t="s">
        <v>52</v>
      </c>
      <c r="H32" s="27" t="s">
        <v>53</v>
      </c>
    </row>
    <row r="33">
      <c r="A33" s="24" t="s">
        <v>22</v>
      </c>
      <c r="B33" s="30">
        <v>46369.0</v>
      </c>
      <c r="C33" s="32"/>
      <c r="D33" s="31" t="s">
        <v>11</v>
      </c>
      <c r="E33" s="31" t="s">
        <v>23</v>
      </c>
      <c r="F33" s="26" t="s">
        <v>25</v>
      </c>
      <c r="G33" s="26" t="s">
        <v>35</v>
      </c>
      <c r="H33" s="27" t="s">
        <v>40</v>
      </c>
    </row>
    <row r="34">
      <c r="A34" s="24" t="s">
        <v>9</v>
      </c>
      <c r="B34" s="30">
        <v>46372.0</v>
      </c>
      <c r="C34" s="31" t="s">
        <v>49</v>
      </c>
      <c r="D34" s="31" t="s">
        <v>11</v>
      </c>
      <c r="E34" s="31" t="s">
        <v>34</v>
      </c>
      <c r="F34" s="26" t="s">
        <v>13</v>
      </c>
      <c r="G34" s="26" t="s">
        <v>32</v>
      </c>
      <c r="H34" s="27" t="s">
        <v>15</v>
      </c>
    </row>
    <row r="35">
      <c r="A35" s="24" t="s">
        <v>16</v>
      </c>
      <c r="B35" s="30">
        <v>46375.0</v>
      </c>
      <c r="C35" s="31" t="s">
        <v>17</v>
      </c>
      <c r="D35" s="31" t="s">
        <v>11</v>
      </c>
      <c r="E35" s="31" t="s">
        <v>18</v>
      </c>
      <c r="F35" s="26" t="s">
        <v>19</v>
      </c>
      <c r="G35" s="26" t="s">
        <v>20</v>
      </c>
      <c r="H35" s="27" t="s">
        <v>26</v>
      </c>
    </row>
    <row r="36">
      <c r="A36" s="24" t="s">
        <v>22</v>
      </c>
      <c r="B36" s="30">
        <v>46376.0</v>
      </c>
      <c r="C36" s="26" t="s">
        <v>37</v>
      </c>
      <c r="D36" s="26" t="s">
        <v>11</v>
      </c>
      <c r="E36" s="26" t="s">
        <v>29</v>
      </c>
      <c r="F36" s="26" t="s">
        <v>66</v>
      </c>
      <c r="G36" s="26" t="s">
        <v>39</v>
      </c>
      <c r="H36" s="27" t="s">
        <v>60</v>
      </c>
    </row>
    <row r="37">
      <c r="A37" s="24" t="s">
        <v>9</v>
      </c>
      <c r="B37" s="30">
        <v>46379.0</v>
      </c>
      <c r="C37" s="26" t="s">
        <v>28</v>
      </c>
      <c r="D37" s="26" t="s">
        <v>11</v>
      </c>
      <c r="E37" s="26" t="s">
        <v>46</v>
      </c>
      <c r="F37" s="26" t="s">
        <v>41</v>
      </c>
      <c r="G37" s="26" t="s">
        <v>43</v>
      </c>
      <c r="H37" s="27" t="s">
        <v>21</v>
      </c>
    </row>
    <row r="38">
      <c r="A38" s="24" t="s">
        <v>16</v>
      </c>
      <c r="B38" s="30">
        <v>46382.0</v>
      </c>
      <c r="C38" s="26" t="s">
        <v>59</v>
      </c>
      <c r="D38" s="26" t="s">
        <v>11</v>
      </c>
      <c r="E38" s="26"/>
      <c r="F38" s="26" t="s">
        <v>38</v>
      </c>
      <c r="G38" s="26" t="s">
        <v>58</v>
      </c>
      <c r="H38" s="27" t="s">
        <v>53</v>
      </c>
    </row>
    <row r="39">
      <c r="A39" s="24" t="s">
        <v>22</v>
      </c>
      <c r="B39" s="30">
        <v>46383.0</v>
      </c>
      <c r="C39" s="26" t="s">
        <v>45</v>
      </c>
      <c r="D39" s="26" t="s">
        <v>11</v>
      </c>
      <c r="E39" s="26" t="s">
        <v>23</v>
      </c>
      <c r="F39" s="26" t="s">
        <v>25</v>
      </c>
      <c r="G39" s="26" t="s">
        <v>52</v>
      </c>
      <c r="H39" s="27" t="s">
        <v>27</v>
      </c>
    </row>
    <row r="40">
      <c r="A40" s="24" t="s">
        <v>9</v>
      </c>
      <c r="B40" s="30">
        <v>46386.0</v>
      </c>
      <c r="C40" s="26" t="s">
        <v>10</v>
      </c>
      <c r="D40" s="26" t="s">
        <v>11</v>
      </c>
      <c r="E40" s="26" t="s">
        <v>34</v>
      </c>
      <c r="F40" s="26" t="s">
        <v>41</v>
      </c>
      <c r="G40" s="26" t="s">
        <v>32</v>
      </c>
      <c r="H40" s="27" t="s">
        <v>15</v>
      </c>
    </row>
    <row r="41">
      <c r="A41" s="24" t="s">
        <v>16</v>
      </c>
      <c r="B41" s="25">
        <v>46389.0</v>
      </c>
      <c r="C41" s="26" t="s">
        <v>33</v>
      </c>
      <c r="D41" s="26" t="s">
        <v>11</v>
      </c>
      <c r="E41" s="26" t="s">
        <v>18</v>
      </c>
      <c r="F41" s="26" t="s">
        <v>19</v>
      </c>
      <c r="G41" s="26" t="s">
        <v>35</v>
      </c>
      <c r="H41" s="27" t="s">
        <v>36</v>
      </c>
    </row>
    <row r="42">
      <c r="A42" s="33" t="s">
        <v>22</v>
      </c>
      <c r="B42" s="34">
        <v>46390.0</v>
      </c>
      <c r="C42" s="35" t="s">
        <v>50</v>
      </c>
      <c r="D42" s="35" t="s">
        <v>11</v>
      </c>
      <c r="E42" s="35" t="s">
        <v>29</v>
      </c>
      <c r="F42" s="35"/>
      <c r="G42" s="35" t="s">
        <v>14</v>
      </c>
      <c r="H42" s="36" t="s">
        <v>78</v>
      </c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